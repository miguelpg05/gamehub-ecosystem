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<sst xmlns="http://schemas.openxmlformats.org/spreadsheetml/2006/main" count="90" uniqueCount="74">
  <si>
    <t>COCOMO</t>
  </si>
  <si>
    <t>KLOC</t>
  </si>
  <si>
    <t>Parámetros</t>
  </si>
  <si>
    <t>Valor fórmula</t>
  </si>
  <si>
    <t>Valor aproximado</t>
  </si>
  <si>
    <t>Esfuerzo</t>
  </si>
  <si>
    <t>Integrantes</t>
  </si>
  <si>
    <t>Duración</t>
  </si>
  <si>
    <t>Presupuesto persona/mes</t>
  </si>
  <si>
    <t>Personal necesario</t>
  </si>
  <si>
    <t>Mes y medio</t>
  </si>
  <si>
    <t>Valor hora estimado</t>
  </si>
  <si>
    <t>Presupuesto total</t>
  </si>
  <si>
    <t>Justificación elección KLOC basada en los WBS y los requisitos funcionales definidos:</t>
  </si>
  <si>
    <t>En el backend se estiman unas 2000-2400 líneas de código, en el Frontend unas 2000 y en los Scripts SQL un aproximado de 300 líneas</t>
  </si>
  <si>
    <t>PUNTOS FUNCIÓN Y CASOS DE USO</t>
  </si>
  <si>
    <t>Clasificación de actores</t>
  </si>
  <si>
    <t>Factor de Complejidad Técnica</t>
  </si>
  <si>
    <t>Actor</t>
  </si>
  <si>
    <t>Tipo</t>
  </si>
  <si>
    <t>Peso</t>
  </si>
  <si>
    <t>Factor</t>
  </si>
  <si>
    <t>Valor</t>
  </si>
  <si>
    <t>PxV</t>
  </si>
  <si>
    <t xml:space="preserve">Visitante </t>
  </si>
  <si>
    <t>Complejo</t>
  </si>
  <si>
    <t>T1- Sistema distribuido (front/back/DB)</t>
  </si>
  <si>
    <t>Suscriptor</t>
  </si>
  <si>
    <t>T2-Tiempo de respuesta</t>
  </si>
  <si>
    <t xml:space="preserve">Redactor </t>
  </si>
  <si>
    <t>T3- Eficiencia del usuario final (UX gaming)</t>
  </si>
  <si>
    <t>Administrador</t>
  </si>
  <si>
    <t>T4- Procesamiento interno complejo</t>
  </si>
  <si>
    <t>T5-Código reutilizable</t>
  </si>
  <si>
    <t>T6- Facilidad de instalación</t>
  </si>
  <si>
    <t>Clasificación de casos de uso</t>
  </si>
  <si>
    <t>T7-Facilidad de uso</t>
  </si>
  <si>
    <t>T8-Portabilidad</t>
  </si>
  <si>
    <t>Casos de uso</t>
  </si>
  <si>
    <t>Trans</t>
  </si>
  <si>
    <t xml:space="preserve">Tipo </t>
  </si>
  <si>
    <t>T9- Facilidad de cambio</t>
  </si>
  <si>
    <t>CU-01 Registrarse</t>
  </si>
  <si>
    <t>Media</t>
  </si>
  <si>
    <t>T10- Concurrencia de usuarios</t>
  </si>
  <si>
    <t>CU-02 Iniciar sesión</t>
  </si>
  <si>
    <t>Simple</t>
  </si>
  <si>
    <t>T11- Seguridad especial</t>
  </si>
  <si>
    <t>CU-03 Publicar noticia</t>
  </si>
  <si>
    <t>T12- Acceso terceros</t>
  </si>
  <si>
    <t>CU-04 Comentar en blog</t>
  </si>
  <si>
    <t>T13- Formación especial requerida</t>
  </si>
  <si>
    <t>CU-05 Gestionar usuarios</t>
  </si>
  <si>
    <t>Compleja</t>
  </si>
  <si>
    <t>CU-06 Formilario contacto</t>
  </si>
  <si>
    <t>CU-07 Consultar catálogo</t>
  </si>
  <si>
    <t>TFC</t>
  </si>
  <si>
    <t>CU-08 Hub multimedia</t>
  </si>
  <si>
    <t>CU-09 Agenda/Calendario</t>
  </si>
  <si>
    <t>CU-10 Instalar PWA</t>
  </si>
  <si>
    <t>Factor de Complejidad del Entorno (ECF)</t>
  </si>
  <si>
    <t>P*V</t>
  </si>
  <si>
    <t>UUCP = UAW + UUCW</t>
  </si>
  <si>
    <t>E1- Familiaridad con el proceso de desarrollo</t>
  </si>
  <si>
    <t>E2- Trabajadores a tiempo parcial</t>
  </si>
  <si>
    <t>E3- Capacidad de análisis del equipo</t>
  </si>
  <si>
    <t>E4- Experiencia con la aplicación</t>
  </si>
  <si>
    <t>E5- Experiencia con OO/stack elegido</t>
  </si>
  <si>
    <t>UCP ajustado</t>
  </si>
  <si>
    <t>E6- Motivación del equipo</t>
  </si>
  <si>
    <t>E7- Dificultad del lenguaje</t>
  </si>
  <si>
    <t>Esfuerzo en PM</t>
  </si>
  <si>
    <t>E8- Estabilidad de requisitos</t>
  </si>
  <si>
    <t>Como conclusión, observamos que ambos métodos arrojan resultados muy similares y consistentes: COCOMO estima un esfuerzo de 11.64 Personas-Mes y el modelo UCP estima 12.11 Personas-Mes. Esta desviación mínima (aprox. 4%) confirma que nuestra estimación de tamaño del software es robusta y realista.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</si>
</sst>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0"/>
  </cols>
  <sheetData>
    <row r="3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</row>
    <row r="4">
      <c r="B4" s="2"/>
      <c r="C4" s="2"/>
      <c r="D4" s="2"/>
      <c r="E4" s="2"/>
      <c r="F4" s="2"/>
      <c r="G4" s="2"/>
      <c r="H4" s="2"/>
      <c r="I4" s="2"/>
      <c r="J4" s="2"/>
      <c r="K4" s="2"/>
    </row>
    <row r="5">
      <c r="B5" s="2"/>
      <c r="C5" s="2"/>
      <c r="D5" s="2"/>
      <c r="E5" s="2"/>
      <c r="F5" s="2" t="s">
        <v>1</v>
      </c>
      <c r="G5" s="3">
        <v>4.5</v>
      </c>
      <c r="H5" s="2"/>
      <c r="I5" s="2"/>
      <c r="J5" s="2"/>
      <c r="K5" s="2"/>
    </row>
    <row r="6">
      <c r="B6" s="4" t="s">
        <v>2</v>
      </c>
      <c r="C6" s="4" t="s">
        <v>3</v>
      </c>
      <c r="D6" s="4" t="s">
        <v>4</v>
      </c>
      <c r="E6" s="2"/>
      <c r="F6" s="2"/>
      <c r="G6" s="2"/>
      <c r="H6" s="2"/>
      <c r="I6" s="2"/>
      <c r="J6" s="2"/>
      <c r="K6" s="2"/>
    </row>
    <row r="7">
      <c r="B7" s="4" t="s">
        <v>5</v>
      </c>
      <c r="C7" s="5">
        <f>2.4*(G5^1.05)</f>
        <v>11.64352235</v>
      </c>
      <c r="D7" s="5">
        <v>11.64</v>
      </c>
      <c r="E7" s="2"/>
      <c r="F7" s="2" t="s">
        <v>6</v>
      </c>
      <c r="G7" s="3">
        <f>4</f>
        <v>4</v>
      </c>
      <c r="H7" s="2"/>
      <c r="I7" s="2"/>
      <c r="J7" s="2"/>
      <c r="K7" s="2"/>
    </row>
    <row r="8">
      <c r="B8" s="4" t="s">
        <v>7</v>
      </c>
      <c r="C8" s="5">
        <f>2.5*(C7)^0.38</f>
        <v>6.35407115</v>
      </c>
      <c r="D8" s="5">
        <v>6.35</v>
      </c>
      <c r="E8" s="2"/>
      <c r="F8" s="2" t="s">
        <v>8</v>
      </c>
      <c r="G8" s="3">
        <v>1000.0</v>
      </c>
      <c r="H8" s="2"/>
      <c r="I8" s="2"/>
      <c r="J8" s="2"/>
      <c r="K8" s="2"/>
    </row>
    <row r="9">
      <c r="B9" s="4" t="s">
        <v>9</v>
      </c>
      <c r="C9" s="5">
        <f>C7/C8</f>
        <v>1.832450735</v>
      </c>
      <c r="D9" s="5">
        <v>2.0</v>
      </c>
      <c r="E9" s="2"/>
      <c r="F9" s="2" t="s">
        <v>10</v>
      </c>
      <c r="G9" s="3">
        <f>G8*1.5</f>
        <v>1500</v>
      </c>
      <c r="H9" s="2"/>
      <c r="I9" s="2"/>
      <c r="J9" s="2"/>
      <c r="K9" s="2"/>
    </row>
    <row r="10">
      <c r="B10" s="4" t="s">
        <v>11</v>
      </c>
      <c r="C10" s="5">
        <f>G10/(C7*160)</f>
        <v>3.220674884</v>
      </c>
      <c r="D10" s="5">
        <v>3.22</v>
      </c>
      <c r="E10" s="2"/>
      <c r="F10" s="2" t="s">
        <v>12</v>
      </c>
      <c r="G10" s="3">
        <f>G9*G7</f>
        <v>6000</v>
      </c>
      <c r="H10" s="2"/>
      <c r="I10" s="2"/>
      <c r="J10" s="2"/>
      <c r="K10" s="2"/>
    </row>
    <row r="11">
      <c r="B11" s="2"/>
      <c r="C11" s="2"/>
      <c r="D11" s="2"/>
      <c r="E11" s="2"/>
      <c r="F11" s="2"/>
      <c r="G11" s="2"/>
      <c r="H11" s="2"/>
      <c r="I11" s="2"/>
      <c r="J11" s="2"/>
      <c r="K11" s="2"/>
    </row>
    <row r="12">
      <c r="B12" s="2"/>
      <c r="C12" s="2"/>
      <c r="D12" s="2"/>
      <c r="E12" s="2"/>
      <c r="F12" s="2"/>
      <c r="G12" s="2"/>
      <c r="H12" s="2"/>
      <c r="I12" s="2"/>
      <c r="J12" s="2"/>
      <c r="K12" s="2"/>
    </row>
    <row r="13">
      <c r="B13" s="2"/>
      <c r="C13" s="2"/>
      <c r="D13" s="2"/>
      <c r="E13" s="2"/>
      <c r="F13" s="2"/>
      <c r="G13" s="2"/>
      <c r="H13" s="2"/>
      <c r="I13" s="2"/>
      <c r="J13" s="2"/>
      <c r="K13" s="2"/>
    </row>
    <row r="14">
      <c r="B14" s="2" t="s">
        <v>13</v>
      </c>
      <c r="C14" s="2"/>
      <c r="D14" s="2"/>
      <c r="E14" s="2"/>
      <c r="F14" s="2"/>
      <c r="G14" s="2"/>
      <c r="H14" s="2"/>
      <c r="I14" s="2"/>
      <c r="J14" s="2"/>
      <c r="K14" s="2"/>
    </row>
    <row r="15">
      <c r="B15" s="2" t="s">
        <v>14</v>
      </c>
      <c r="C15" s="2"/>
      <c r="D15" s="2"/>
      <c r="E15" s="2"/>
      <c r="F15" s="2"/>
      <c r="G15" s="2"/>
      <c r="H15" s="2"/>
      <c r="I15" s="2"/>
      <c r="J15" s="2"/>
      <c r="K15" s="2"/>
    </row>
    <row r="16"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B17" s="2"/>
      <c r="C17" s="2"/>
      <c r="D17" s="2"/>
      <c r="E17" s="2"/>
      <c r="F17" s="2"/>
      <c r="G17" s="2"/>
      <c r="H17" s="2"/>
      <c r="I17" s="2"/>
      <c r="J17" s="2"/>
      <c r="K17" s="2"/>
    </row>
    <row r="18"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B19" s="1" t="s">
        <v>15</v>
      </c>
      <c r="C19" s="2"/>
      <c r="D19" s="2"/>
      <c r="E19" s="2"/>
      <c r="F19" s="2"/>
      <c r="G19" s="2"/>
      <c r="H19" s="2"/>
      <c r="I19" s="2"/>
      <c r="J19" s="2"/>
      <c r="K19" s="2"/>
    </row>
    <row r="20">
      <c r="B20" s="2"/>
      <c r="C20" s="2"/>
      <c r="D20" s="2"/>
      <c r="E20" s="2"/>
      <c r="F20" s="2"/>
      <c r="G20" s="2"/>
      <c r="H20" s="2"/>
      <c r="I20" s="2"/>
      <c r="J20" s="2"/>
      <c r="K20" s="2"/>
    </row>
    <row r="21">
      <c r="B21" s="6" t="s">
        <v>16</v>
      </c>
      <c r="C21" s="2"/>
      <c r="D21" s="2"/>
      <c r="E21" s="2"/>
      <c r="F21" s="2"/>
      <c r="G21" s="2"/>
      <c r="H21" s="6" t="s">
        <v>17</v>
      </c>
      <c r="I21" s="2"/>
      <c r="J21" s="2"/>
      <c r="K21" s="2"/>
    </row>
    <row r="22">
      <c r="B22" s="2"/>
      <c r="C22" s="2"/>
      <c r="D22" s="2"/>
      <c r="E22" s="2"/>
      <c r="F22" s="2"/>
      <c r="G22" s="2"/>
      <c r="H22" s="2"/>
      <c r="I22" s="2"/>
      <c r="J22" s="2"/>
      <c r="K22" s="2"/>
    </row>
    <row r="23">
      <c r="B23" s="4" t="s">
        <v>18</v>
      </c>
      <c r="C23" s="4" t="s">
        <v>19</v>
      </c>
      <c r="D23" s="4" t="s">
        <v>20</v>
      </c>
      <c r="E23" s="2"/>
      <c r="F23" s="2"/>
      <c r="G23" s="2"/>
      <c r="H23" s="4" t="s">
        <v>21</v>
      </c>
      <c r="I23" s="4" t="s">
        <v>20</v>
      </c>
      <c r="J23" s="4" t="s">
        <v>22</v>
      </c>
      <c r="K23" s="4" t="s">
        <v>23</v>
      </c>
    </row>
    <row r="24">
      <c r="B24" s="4" t="s">
        <v>24</v>
      </c>
      <c r="C24" s="4" t="s">
        <v>25</v>
      </c>
      <c r="D24" s="5">
        <v>3.0</v>
      </c>
      <c r="E24" s="2"/>
      <c r="F24" s="2"/>
      <c r="G24" s="2"/>
      <c r="H24" s="4" t="s">
        <v>26</v>
      </c>
      <c r="I24" s="5">
        <v>2.0</v>
      </c>
      <c r="J24" s="5">
        <v>2.0</v>
      </c>
      <c r="K24" s="5">
        <f t="shared" ref="K24:K36" si="1">I24*J24</f>
        <v>4</v>
      </c>
    </row>
    <row r="25">
      <c r="B25" s="4" t="s">
        <v>27</v>
      </c>
      <c r="C25" s="4" t="s">
        <v>25</v>
      </c>
      <c r="D25" s="5">
        <v>3.0</v>
      </c>
      <c r="E25" s="2"/>
      <c r="F25" s="2"/>
      <c r="G25" s="2"/>
      <c r="H25" s="4" t="s">
        <v>28</v>
      </c>
      <c r="I25" s="5">
        <v>1.0</v>
      </c>
      <c r="J25" s="5">
        <v>2.0</v>
      </c>
      <c r="K25" s="5">
        <f t="shared" si="1"/>
        <v>2</v>
      </c>
    </row>
    <row r="26">
      <c r="B26" s="4" t="s">
        <v>29</v>
      </c>
      <c r="C26" s="4" t="s">
        <v>25</v>
      </c>
      <c r="D26" s="5">
        <v>3.0</v>
      </c>
      <c r="E26" s="2"/>
      <c r="F26" s="2"/>
      <c r="G26" s="2"/>
      <c r="H26" s="4" t="s">
        <v>30</v>
      </c>
      <c r="I26" s="5">
        <v>1.0</v>
      </c>
      <c r="J26" s="5">
        <v>3.0</v>
      </c>
      <c r="K26" s="5">
        <f t="shared" si="1"/>
        <v>3</v>
      </c>
    </row>
    <row r="27">
      <c r="B27" s="4" t="s">
        <v>31</v>
      </c>
      <c r="C27" s="4" t="s">
        <v>25</v>
      </c>
      <c r="D27" s="5">
        <v>3.0</v>
      </c>
      <c r="E27" s="2"/>
      <c r="F27" s="2"/>
      <c r="G27" s="2"/>
      <c r="H27" s="4" t="s">
        <v>32</v>
      </c>
      <c r="I27" s="5">
        <v>1.0</v>
      </c>
      <c r="J27" s="5">
        <v>2.0</v>
      </c>
      <c r="K27" s="5">
        <f t="shared" si="1"/>
        <v>2</v>
      </c>
    </row>
    <row r="28">
      <c r="B28" s="2"/>
      <c r="C28" s="2"/>
      <c r="D28" s="5">
        <f>SUM(D24:D27)</f>
        <v>12</v>
      </c>
      <c r="E28" s="2"/>
      <c r="F28" s="2"/>
      <c r="G28" s="2"/>
      <c r="H28" s="4" t="s">
        <v>33</v>
      </c>
      <c r="I28" s="5">
        <v>1.0</v>
      </c>
      <c r="J28" s="5">
        <v>2.0</v>
      </c>
      <c r="K28" s="5">
        <f t="shared" si="1"/>
        <v>2</v>
      </c>
    </row>
    <row r="29">
      <c r="B29" s="2"/>
      <c r="C29" s="2"/>
      <c r="D29" s="2"/>
      <c r="E29" s="2"/>
      <c r="F29" s="2"/>
      <c r="G29" s="2"/>
      <c r="H29" s="4" t="s">
        <v>34</v>
      </c>
      <c r="I29" s="5">
        <v>0.5</v>
      </c>
      <c r="J29" s="5">
        <v>3.0</v>
      </c>
      <c r="K29" s="5">
        <f t="shared" si="1"/>
        <v>1.5</v>
      </c>
    </row>
    <row r="30">
      <c r="B30" s="6" t="s">
        <v>35</v>
      </c>
      <c r="C30" s="2"/>
      <c r="D30" s="2"/>
      <c r="E30" s="2"/>
      <c r="F30" s="2"/>
      <c r="G30" s="2"/>
      <c r="H30" s="4" t="s">
        <v>36</v>
      </c>
      <c r="I30" s="5">
        <v>0.5</v>
      </c>
      <c r="J30" s="5">
        <v>3.0</v>
      </c>
      <c r="K30" s="5">
        <f t="shared" si="1"/>
        <v>1.5</v>
      </c>
    </row>
    <row r="31">
      <c r="B31" s="2"/>
      <c r="C31" s="2"/>
      <c r="D31" s="2"/>
      <c r="E31" s="2"/>
      <c r="F31" s="2"/>
      <c r="G31" s="2"/>
      <c r="H31" s="4" t="s">
        <v>37</v>
      </c>
      <c r="I31" s="5">
        <v>2.0</v>
      </c>
      <c r="J31" s="5">
        <v>4.0</v>
      </c>
      <c r="K31" s="5">
        <f t="shared" si="1"/>
        <v>8</v>
      </c>
    </row>
    <row r="32">
      <c r="B32" s="4" t="s">
        <v>38</v>
      </c>
      <c r="C32" s="4" t="s">
        <v>39</v>
      </c>
      <c r="D32" s="4" t="s">
        <v>40</v>
      </c>
      <c r="E32" s="4" t="s">
        <v>20</v>
      </c>
      <c r="F32" s="2"/>
      <c r="G32" s="2"/>
      <c r="H32" s="4" t="s">
        <v>41</v>
      </c>
      <c r="I32" s="5">
        <v>1.0</v>
      </c>
      <c r="J32" s="5">
        <v>2.0</v>
      </c>
      <c r="K32" s="5">
        <f t="shared" si="1"/>
        <v>2</v>
      </c>
    </row>
    <row r="33">
      <c r="B33" s="4" t="s">
        <v>42</v>
      </c>
      <c r="C33" s="5">
        <v>5.0</v>
      </c>
      <c r="D33" s="4" t="s">
        <v>43</v>
      </c>
      <c r="E33" s="5">
        <v>10.0</v>
      </c>
      <c r="F33" s="2"/>
      <c r="G33" s="2"/>
      <c r="H33" s="4" t="s">
        <v>44</v>
      </c>
      <c r="I33" s="5">
        <v>1.0</v>
      </c>
      <c r="J33" s="5">
        <v>2.0</v>
      </c>
      <c r="K33" s="5">
        <f t="shared" si="1"/>
        <v>2</v>
      </c>
    </row>
    <row r="34">
      <c r="B34" s="4" t="s">
        <v>45</v>
      </c>
      <c r="C34" s="5">
        <v>3.0</v>
      </c>
      <c r="D34" s="4" t="s">
        <v>46</v>
      </c>
      <c r="E34" s="5">
        <v>5.0</v>
      </c>
      <c r="F34" s="2"/>
      <c r="G34" s="2"/>
      <c r="H34" s="4" t="s">
        <v>47</v>
      </c>
      <c r="I34" s="5">
        <v>1.0</v>
      </c>
      <c r="J34" s="5">
        <v>4.0</v>
      </c>
      <c r="K34" s="5">
        <f t="shared" si="1"/>
        <v>4</v>
      </c>
    </row>
    <row r="35">
      <c r="B35" s="4" t="s">
        <v>48</v>
      </c>
      <c r="C35" s="5">
        <v>5.0</v>
      </c>
      <c r="D35" s="4" t="s">
        <v>43</v>
      </c>
      <c r="E35" s="5">
        <v>10.0</v>
      </c>
      <c r="F35" s="2"/>
      <c r="G35" s="2"/>
      <c r="H35" s="4" t="s">
        <v>49</v>
      </c>
      <c r="I35" s="5">
        <v>1.0</v>
      </c>
      <c r="J35" s="5">
        <v>3.0</v>
      </c>
      <c r="K35" s="5">
        <f t="shared" si="1"/>
        <v>3</v>
      </c>
    </row>
    <row r="36">
      <c r="B36" s="4" t="s">
        <v>50</v>
      </c>
      <c r="C36" s="5">
        <v>4.0</v>
      </c>
      <c r="D36" s="4" t="s">
        <v>43</v>
      </c>
      <c r="E36" s="5">
        <v>10.0</v>
      </c>
      <c r="F36" s="2"/>
      <c r="G36" s="2"/>
      <c r="H36" s="4" t="s">
        <v>51</v>
      </c>
      <c r="I36" s="5">
        <v>1.0</v>
      </c>
      <c r="J36" s="5">
        <v>0.0</v>
      </c>
      <c r="K36" s="5">
        <f t="shared" si="1"/>
        <v>0</v>
      </c>
    </row>
    <row r="37">
      <c r="B37" s="4" t="s">
        <v>52</v>
      </c>
      <c r="C37" s="5">
        <v>8.0</v>
      </c>
      <c r="D37" s="4" t="s">
        <v>53</v>
      </c>
      <c r="E37" s="5">
        <v>15.0</v>
      </c>
      <c r="F37" s="2"/>
      <c r="G37" s="2"/>
      <c r="H37" s="2"/>
      <c r="I37" s="2"/>
      <c r="J37" s="2"/>
      <c r="K37" s="5">
        <f>SUM(K24:K36)</f>
        <v>35</v>
      </c>
    </row>
    <row r="38">
      <c r="B38" s="4" t="s">
        <v>54</v>
      </c>
      <c r="C38" s="5">
        <v>4.0</v>
      </c>
      <c r="D38" s="4" t="s">
        <v>43</v>
      </c>
      <c r="E38" s="5">
        <v>10.0</v>
      </c>
      <c r="F38" s="2"/>
      <c r="G38" s="2"/>
      <c r="H38" s="2"/>
      <c r="I38" s="2"/>
      <c r="J38" s="2"/>
      <c r="K38" s="2"/>
    </row>
    <row r="39">
      <c r="B39" s="4" t="s">
        <v>55</v>
      </c>
      <c r="C39" s="5">
        <v>4.0</v>
      </c>
      <c r="D39" s="4" t="s">
        <v>43</v>
      </c>
      <c r="E39" s="5">
        <v>10.0</v>
      </c>
      <c r="F39" s="2"/>
      <c r="G39" s="2"/>
      <c r="H39" s="3" t="s">
        <v>56</v>
      </c>
      <c r="I39" s="3">
        <f>0.6+(0.01*K37)</f>
        <v>0.95</v>
      </c>
      <c r="J39" s="2"/>
      <c r="K39" s="2"/>
    </row>
    <row r="40">
      <c r="B40" s="4" t="s">
        <v>57</v>
      </c>
      <c r="C40" s="5">
        <v>3.0</v>
      </c>
      <c r="D40" s="4" t="s">
        <v>46</v>
      </c>
      <c r="E40" s="5">
        <v>5.0</v>
      </c>
      <c r="F40" s="2"/>
      <c r="G40" s="2"/>
      <c r="H40" s="2"/>
      <c r="I40" s="2"/>
      <c r="J40" s="2"/>
      <c r="K40" s="2"/>
    </row>
    <row r="41">
      <c r="B41" s="4" t="s">
        <v>58</v>
      </c>
      <c r="C41" s="5">
        <v>4.0</v>
      </c>
      <c r="D41" s="4" t="s">
        <v>43</v>
      </c>
      <c r="E41" s="5">
        <v>10.0</v>
      </c>
      <c r="F41" s="2"/>
      <c r="G41" s="2"/>
      <c r="H41" s="2"/>
      <c r="I41" s="2"/>
      <c r="J41" s="2"/>
      <c r="K41" s="2"/>
    </row>
    <row r="42">
      <c r="B42" s="4" t="s">
        <v>59</v>
      </c>
      <c r="C42" s="5">
        <v>3.0</v>
      </c>
      <c r="D42" s="4" t="s">
        <v>46</v>
      </c>
      <c r="E42" s="5">
        <v>5.0</v>
      </c>
      <c r="F42" s="2"/>
      <c r="G42" s="2"/>
      <c r="H42" s="2" t="s">
        <v>60</v>
      </c>
      <c r="I42" s="2"/>
      <c r="J42" s="2"/>
      <c r="K42" s="2"/>
    </row>
    <row r="43">
      <c r="B43" s="2"/>
      <c r="C43" s="2"/>
      <c r="D43" s="2"/>
      <c r="E43" s="5">
        <f>SUM(E33:E42)</f>
        <v>90</v>
      </c>
      <c r="F43" s="2"/>
      <c r="G43" s="2"/>
      <c r="H43" s="2"/>
      <c r="I43" s="2"/>
      <c r="J43" s="2"/>
      <c r="K43" s="2"/>
    </row>
    <row r="44">
      <c r="B44" s="2"/>
      <c r="C44" s="2"/>
      <c r="D44" s="2"/>
      <c r="E44" s="2"/>
      <c r="F44" s="2"/>
      <c r="G44" s="2"/>
      <c r="H44" s="4" t="s">
        <v>21</v>
      </c>
      <c r="I44" s="4" t="s">
        <v>20</v>
      </c>
      <c r="J44" s="4" t="s">
        <v>22</v>
      </c>
      <c r="K44" s="4" t="s">
        <v>61</v>
      </c>
    </row>
    <row r="45">
      <c r="B45" s="4" t="s">
        <v>62</v>
      </c>
      <c r="C45" s="5">
        <f>E43+D28</f>
        <v>102</v>
      </c>
      <c r="D45" s="2"/>
      <c r="E45" s="2"/>
      <c r="F45" s="2"/>
      <c r="G45" s="2"/>
      <c r="H45" s="4" t="s">
        <v>63</v>
      </c>
      <c r="I45" s="5">
        <v>1.5</v>
      </c>
      <c r="J45" s="5">
        <v>2.0</v>
      </c>
      <c r="K45" s="5">
        <f t="shared" ref="K45:K52" si="2">I45*J45</f>
        <v>3</v>
      </c>
    </row>
    <row r="46">
      <c r="B46" s="2"/>
      <c r="C46" s="2"/>
      <c r="D46" s="2"/>
      <c r="E46" s="2"/>
      <c r="F46" s="2"/>
      <c r="G46" s="2"/>
      <c r="H46" s="4" t="s">
        <v>64</v>
      </c>
      <c r="I46" s="5">
        <v>-1.0</v>
      </c>
      <c r="J46" s="5">
        <v>4.0</v>
      </c>
      <c r="K46" s="5">
        <f t="shared" si="2"/>
        <v>-4</v>
      </c>
    </row>
    <row r="47">
      <c r="B47" s="2"/>
      <c r="C47" s="2"/>
      <c r="D47" s="2"/>
      <c r="E47" s="2"/>
      <c r="F47" s="2"/>
      <c r="G47" s="2"/>
      <c r="H47" s="4" t="s">
        <v>65</v>
      </c>
      <c r="I47" s="5">
        <v>0.5</v>
      </c>
      <c r="J47" s="5">
        <v>3.0</v>
      </c>
      <c r="K47" s="5">
        <f t="shared" si="2"/>
        <v>1.5</v>
      </c>
    </row>
    <row r="48">
      <c r="B48" s="2"/>
      <c r="C48" s="2"/>
      <c r="D48" s="2"/>
      <c r="E48" s="2"/>
      <c r="F48" s="2"/>
      <c r="G48" s="2"/>
      <c r="H48" s="4" t="s">
        <v>66</v>
      </c>
      <c r="I48" s="5">
        <v>0.5</v>
      </c>
      <c r="J48" s="5">
        <v>2.0</v>
      </c>
      <c r="K48" s="5">
        <f t="shared" si="2"/>
        <v>1</v>
      </c>
    </row>
    <row r="49">
      <c r="B49" s="2"/>
      <c r="C49" s="2"/>
      <c r="D49" s="2"/>
      <c r="E49" s="2"/>
      <c r="F49" s="2"/>
      <c r="G49" s="2"/>
      <c r="H49" s="4" t="s">
        <v>67</v>
      </c>
      <c r="I49" s="5">
        <v>1.0</v>
      </c>
      <c r="J49" s="5">
        <v>2.0</v>
      </c>
      <c r="K49" s="5">
        <f t="shared" si="2"/>
        <v>2</v>
      </c>
    </row>
    <row r="50">
      <c r="B50" s="4" t="s">
        <v>68</v>
      </c>
      <c r="C50" s="5">
        <f>C45*I39*1</f>
        <v>96.9</v>
      </c>
      <c r="D50" s="2"/>
      <c r="E50" s="2"/>
      <c r="F50" s="2"/>
      <c r="G50" s="2"/>
      <c r="H50" s="4" t="s">
        <v>69</v>
      </c>
      <c r="I50" s="5">
        <v>1.0</v>
      </c>
      <c r="J50" s="5">
        <v>4.0</v>
      </c>
      <c r="K50" s="5">
        <f t="shared" si="2"/>
        <v>4</v>
      </c>
    </row>
    <row r="51">
      <c r="B51" s="4" t="s">
        <v>5</v>
      </c>
      <c r="C51" s="5">
        <f>C50*20</f>
        <v>1938</v>
      </c>
      <c r="D51" s="2"/>
      <c r="E51" s="2"/>
      <c r="F51" s="2"/>
      <c r="G51" s="2"/>
      <c r="H51" s="4" t="s">
        <v>70</v>
      </c>
      <c r="I51" s="5">
        <v>-1.0</v>
      </c>
      <c r="J51" s="5">
        <v>2.0</v>
      </c>
      <c r="K51" s="5">
        <f t="shared" si="2"/>
        <v>-2</v>
      </c>
    </row>
    <row r="52">
      <c r="B52" s="4" t="s">
        <v>71</v>
      </c>
      <c r="C52" s="5">
        <f>C51/160</f>
        <v>12.1125</v>
      </c>
      <c r="D52" s="2"/>
      <c r="E52" s="2"/>
      <c r="F52" s="2"/>
      <c r="G52" s="2"/>
      <c r="H52" s="4" t="s">
        <v>72</v>
      </c>
      <c r="I52" s="5">
        <v>2.0</v>
      </c>
      <c r="J52" s="5">
        <v>4.0</v>
      </c>
      <c r="K52" s="5">
        <f t="shared" si="2"/>
        <v>8</v>
      </c>
    </row>
    <row r="53">
      <c r="B53" s="2"/>
      <c r="C53" s="2"/>
      <c r="D53" s="2"/>
      <c r="E53" s="2"/>
      <c r="F53" s="2"/>
      <c r="G53" s="2"/>
      <c r="H53" s="2"/>
      <c r="I53" s="2"/>
      <c r="J53" s="2"/>
      <c r="K53" s="5">
        <f>SUM(K45:K52)</f>
        <v>13.5</v>
      </c>
    </row>
    <row r="54">
      <c r="B54" s="2"/>
      <c r="C54" s="2"/>
      <c r="D54" s="2"/>
      <c r="E54" s="2"/>
      <c r="F54" s="2"/>
      <c r="G54" s="2"/>
      <c r="H54" s="2"/>
      <c r="I54" s="2"/>
      <c r="J54" s="2"/>
      <c r="K54" s="2"/>
    </row>
    <row r="55">
      <c r="B55" s="7" t="s">
        <v>73</v>
      </c>
    </row>
  </sheetData>
  <drawing r:id="rId1"/>
</worksheet>
</file>